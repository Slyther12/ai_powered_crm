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Indo-Gulf Procurement Services</t>
        </is>
      </c>
    </row>
    <row r="2">
      <c r="A2" s="2" t="inlineStr">
        <is>
          <t>Office 1204, Al Quoz Ind Area 4, Dubai, UAE</t>
        </is>
      </c>
      <c r="E2" s="3" t="inlineStr">
        <is>
          <t>Quotation No:</t>
        </is>
      </c>
      <c r="F2" s="2" t="inlineStr">
        <is>
          <t>SUP005-PROJ-DELTA-Q004</t>
        </is>
      </c>
    </row>
    <row r="3">
      <c r="A3" s="2" t="inlineStr">
        <is>
          <t>GST: N/A   Tel: +971-4-567-8901</t>
        </is>
      </c>
      <c r="E3" s="3" t="inlineStr">
        <is>
          <t>Date:</t>
        </is>
      </c>
      <c r="F3" s="2" t="inlineStr">
        <is>
          <t>22-Sep-2024</t>
        </is>
      </c>
    </row>
    <row r="4">
      <c r="A4" s="2" t="inlineStr">
        <is>
          <t>Email: farhan@indogulf.ae</t>
        </is>
      </c>
      <c r="E4" s="3" t="inlineStr">
        <is>
          <t>Valid Until:</t>
        </is>
      </c>
      <c r="F4" s="2" t="inlineStr">
        <is>
          <t>07-Oct-2024</t>
        </is>
      </c>
    </row>
    <row r="6">
      <c r="A6" s="4" t="inlineStr">
        <is>
          <t>Project: Project Delta  (PROJ-DELTA)  —  Gearbox and rotating equipment maintenance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(USD)</t>
        </is>
      </c>
      <c r="F8" s="5" t="inlineStr">
        <is>
          <t>Amount (USD)</t>
        </is>
      </c>
    </row>
    <row r="9">
      <c r="A9" s="6" t="n">
        <v>1</v>
      </c>
      <c r="B9" s="7" t="inlineStr">
        <is>
          <t>V-Belt A Section Set</t>
        </is>
      </c>
      <c r="C9" s="6" t="inlineStr">
        <is>
          <t>SET</t>
        </is>
      </c>
      <c r="D9" s="6" t="n">
        <v>5</v>
      </c>
      <c r="E9" s="8" t="n">
        <v>1219.65</v>
      </c>
      <c r="F9" s="8">
        <f>D9*E9</f>
        <v/>
      </c>
    </row>
    <row r="10">
      <c r="A10" s="9" t="n">
        <v>2</v>
      </c>
      <c r="B10" s="10" t="inlineStr">
        <is>
          <t>Coupling Fluid 90mm Bore</t>
        </is>
      </c>
      <c r="C10" s="9" t="inlineStr">
        <is>
          <t>NOS</t>
        </is>
      </c>
      <c r="D10" s="9" t="n">
        <v>8</v>
      </c>
      <c r="E10" s="11" t="n">
        <v>14142.89</v>
      </c>
      <c r="F10" s="11">
        <f>D10*E10</f>
        <v/>
      </c>
    </row>
    <row r="11">
      <c r="A11" s="6" t="n">
        <v>3</v>
      </c>
      <c r="B11" s="7" t="inlineStr">
        <is>
          <t>SKF Bearing 22222 E Spherical</t>
        </is>
      </c>
      <c r="C11" s="6" t="inlineStr">
        <is>
          <t>NOS</t>
        </is>
      </c>
      <c r="D11" s="6" t="n">
        <v>21</v>
      </c>
      <c r="E11" s="8" t="n">
        <v>8755.860000000001</v>
      </c>
      <c r="F11" s="8">
        <f>D11*E11</f>
        <v/>
      </c>
    </row>
    <row r="12">
      <c r="A12" s="9" t="n">
        <v>4</v>
      </c>
      <c r="B12" s="10" t="inlineStr">
        <is>
          <t>Mechanical Seal Type 502 50mm</t>
        </is>
      </c>
      <c r="C12" s="9" t="inlineStr">
        <is>
          <t>NOS</t>
        </is>
      </c>
      <c r="D12" s="9" t="n">
        <v>27</v>
      </c>
      <c r="E12" s="11" t="n">
        <v>3896.2</v>
      </c>
      <c r="F12" s="11">
        <f>D12*E12</f>
        <v/>
      </c>
    </row>
    <row r="13">
      <c r="A13" s="6" t="n">
        <v>5</v>
      </c>
      <c r="B13" s="7" t="inlineStr">
        <is>
          <t>Overhaul Labour (Rotating Equip)</t>
        </is>
      </c>
      <c r="C13" s="6" t="inlineStr">
        <is>
          <t>MH</t>
        </is>
      </c>
      <c r="D13" s="6" t="n">
        <v>115</v>
      </c>
      <c r="E13" s="8" t="n">
        <v>677.42</v>
      </c>
      <c r="F13" s="8">
        <f>D13*E13</f>
        <v/>
      </c>
    </row>
    <row r="14">
      <c r="A14" s="9" t="n">
        <v>6</v>
      </c>
      <c r="B14" s="10" t="inlineStr">
        <is>
          <t>Alignment Laser Shaft Service</t>
        </is>
      </c>
      <c r="C14" s="9" t="inlineStr">
        <is>
          <t>NOS</t>
        </is>
      </c>
      <c r="D14" s="9" t="n">
        <v>17</v>
      </c>
      <c r="E14" s="11" t="n">
        <v>12630.62</v>
      </c>
      <c r="F14" s="11">
        <f>D14*E14</f>
        <v/>
      </c>
    </row>
    <row r="15">
      <c r="A15" s="6" t="n">
        <v>7</v>
      </c>
      <c r="B15" s="7" t="inlineStr">
        <is>
          <t>Shaft Seal Ring 60x80x10</t>
        </is>
      </c>
      <c r="C15" s="6" t="inlineStr">
        <is>
          <t>NOS</t>
        </is>
      </c>
      <c r="D15" s="6" t="n">
        <v>37</v>
      </c>
      <c r="E15" s="8" t="n">
        <v>353.42</v>
      </c>
      <c r="F15" s="8">
        <f>D15*E15</f>
        <v/>
      </c>
    </row>
    <row r="17">
      <c r="E17" s="12" t="inlineStr">
        <is>
          <t>Sub-Total</t>
        </is>
      </c>
      <c r="F17" s="13">
        <f>SUM(F9:F15)</f>
        <v/>
      </c>
    </row>
    <row r="18">
      <c r="E18" s="14" t="inlineStr">
        <is>
          <t>TOTAL</t>
        </is>
      </c>
      <c r="F18" s="15">
        <f>F17</f>
        <v/>
      </c>
    </row>
    <row r="20">
      <c r="A20" s="3" t="inlineStr">
        <is>
          <t>Payment Terms:</t>
        </is>
      </c>
      <c r="C20" s="2" t="inlineStr">
        <is>
          <t>Net 30 days from invoice date</t>
        </is>
      </c>
    </row>
    <row r="21">
      <c r="A21" s="3" t="inlineStr">
        <is>
          <t>Delivery:</t>
        </is>
      </c>
      <c r="C21" s="2" t="inlineStr">
        <is>
          <t>61 days from PO date</t>
        </is>
      </c>
    </row>
    <row r="22">
      <c r="A22" s="3" t="inlineStr">
        <is>
          <t>Validity:</t>
        </is>
      </c>
      <c r="C22" s="2" t="inlineStr">
        <is>
          <t>15 days</t>
        </is>
      </c>
    </row>
    <row r="23">
      <c r="A23" s="3" t="inlineStr">
        <is>
          <t>Warranty:</t>
        </is>
      </c>
      <c r="C23" s="2" t="inlineStr">
        <is>
          <t>12 months from commissioning</t>
        </is>
      </c>
    </row>
    <row r="24">
      <c r="A24" s="3" t="inlineStr">
        <is>
          <t>Freight:</t>
        </is>
      </c>
      <c r="C24" s="2" t="inlineStr">
        <is>
          <t>Ex-works, freight extra</t>
        </is>
      </c>
    </row>
  </sheetData>
  <mergeCells count="15">
    <mergeCell ref="C22:F22"/>
    <mergeCell ref="A20:B20"/>
    <mergeCell ref="A21:B21"/>
    <mergeCell ref="A24:B24"/>
    <mergeCell ref="C23:F23"/>
    <mergeCell ref="A4:D4"/>
    <mergeCell ref="A1:F1"/>
    <mergeCell ref="A3:D3"/>
    <mergeCell ref="C20:F20"/>
    <mergeCell ref="C21:F21"/>
    <mergeCell ref="A6:F6"/>
    <mergeCell ref="A2:D2"/>
    <mergeCell ref="A23:B23"/>
    <mergeCell ref="C24:F24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