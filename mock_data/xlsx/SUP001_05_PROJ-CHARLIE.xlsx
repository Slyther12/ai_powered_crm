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A5C"/>
      <sz val="13"/>
    </font>
    <font>
      <name val="Arial"/>
      <sz val="9"/>
    </font>
    <font>
      <name val="Arial"/>
      <b val="1"/>
      <sz val="9"/>
    </font>
    <font>
      <name val="Arial"/>
      <b val="1"/>
      <color rgb="00FFFFFF"/>
      <sz val="10"/>
    </font>
    <font>
      <name val="Arial"/>
      <b val="1"/>
      <color rgb="001A3A5C"/>
      <sz val="10"/>
    </font>
  </fonts>
  <fills count="7">
    <fill>
      <patternFill/>
    </fill>
    <fill>
      <patternFill patternType="gray125"/>
    </fill>
    <fill>
      <patternFill patternType="solid">
        <fgColor rgb="00EDF2FA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DDE8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4" fontId="2" fillId="5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4" fontId="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0" customWidth="1" min="3" max="3"/>
    <col width="10" customWidth="1" min="4" max="4"/>
    <col width="18" customWidth="1" min="5" max="5"/>
    <col width="18" customWidth="1" min="6" max="6"/>
  </cols>
  <sheetData>
    <row r="1">
      <c r="A1" s="1" t="inlineStr">
        <is>
          <t>Shree Metals &amp; Alloys Pvt Ltd</t>
        </is>
      </c>
    </row>
    <row r="2">
      <c r="A2" s="2" t="inlineStr">
        <is>
          <t>Plot 14, MIDC Industrial Area, Pune 411018</t>
        </is>
      </c>
      <c r="E2" s="3" t="inlineStr">
        <is>
          <t>Quotation No:</t>
        </is>
      </c>
      <c r="F2" s="2" t="inlineStr">
        <is>
          <t>SUP001-PROJ-CHARLIE-Q005</t>
        </is>
      </c>
    </row>
    <row r="3">
      <c r="A3" s="2" t="inlineStr">
        <is>
          <t>GST: 27AABCS1234A1Z5   Tel: +91-22-4455-6677</t>
        </is>
      </c>
      <c r="E3" s="3" t="inlineStr">
        <is>
          <t>Date:</t>
        </is>
      </c>
      <c r="F3" s="2" t="inlineStr">
        <is>
          <t>05-Sep-2024</t>
        </is>
      </c>
    </row>
    <row r="4">
      <c r="A4" s="2" t="inlineStr">
        <is>
          <t>Email: rajesh@shreemetals.in</t>
        </is>
      </c>
      <c r="E4" s="3" t="inlineStr">
        <is>
          <t>Valid Until:</t>
        </is>
      </c>
      <c r="F4" s="2" t="inlineStr">
        <is>
          <t>20-Oct-2024</t>
        </is>
      </c>
    </row>
    <row r="6">
      <c r="A6" s="4" t="inlineStr">
        <is>
          <t>Project: Project Charlie  (PROJ-CHARLIE)  —  Process piping and valve replacement</t>
        </is>
      </c>
    </row>
    <row r="8" ht="28" customHeight="1">
      <c r="A8" s="5" t="inlineStr">
        <is>
          <t>#</t>
        </is>
      </c>
      <c r="B8" s="5" t="inlineStr">
        <is>
          <t>Description</t>
        </is>
      </c>
      <c r="C8" s="5" t="inlineStr">
        <is>
          <t>Unit</t>
        </is>
      </c>
      <c r="D8" s="5" t="inlineStr">
        <is>
          <t>Qty</t>
        </is>
      </c>
      <c r="E8" s="5" t="inlineStr">
        <is>
          <t>Unit Price (INR)</t>
        </is>
      </c>
      <c r="F8" s="5" t="inlineStr">
        <is>
          <t>Amount (INR)</t>
        </is>
      </c>
    </row>
    <row r="9">
      <c r="A9" s="6" t="n">
        <v>1</v>
      </c>
      <c r="B9" s="7" t="inlineStr">
        <is>
          <t>Insulation 50mm Rock Wool Pipe</t>
        </is>
      </c>
      <c r="C9" s="6" t="inlineStr">
        <is>
          <t>MTR</t>
        </is>
      </c>
      <c r="D9" s="6" t="n">
        <v>117</v>
      </c>
      <c r="E9" s="8" t="n">
        <v>386.99</v>
      </c>
      <c r="F9" s="8">
        <f>D9*E9</f>
        <v/>
      </c>
    </row>
    <row r="10">
      <c r="A10" s="9" t="n">
        <v>2</v>
      </c>
      <c r="B10" s="10" t="inlineStr">
        <is>
          <t>Hydro Testing &amp; Commissioning</t>
        </is>
      </c>
      <c r="C10" s="9" t="inlineStr">
        <is>
          <t>LS</t>
        </is>
      </c>
      <c r="D10" s="9" t="n">
        <v>1</v>
      </c>
      <c r="E10" s="11" t="n">
        <v>24930.66</v>
      </c>
      <c r="F10" s="11">
        <f>D10*E10</f>
        <v/>
      </c>
    </row>
    <row r="11">
      <c r="A11" s="6" t="n">
        <v>3</v>
      </c>
      <c r="B11" s="7" t="inlineStr">
        <is>
          <t>Pressure Gauge 0-16bar Glycerine</t>
        </is>
      </c>
      <c r="C11" s="6" t="inlineStr">
        <is>
          <t>NOS</t>
        </is>
      </c>
      <c r="D11" s="6" t="n">
        <v>35</v>
      </c>
      <c r="E11" s="8" t="n">
        <v>833.33</v>
      </c>
      <c r="F11" s="8">
        <f>D11*E11</f>
        <v/>
      </c>
    </row>
    <row r="12">
      <c r="A12" s="9" t="n">
        <v>4</v>
      </c>
      <c r="B12" s="10" t="inlineStr">
        <is>
          <t>Gate Valve PN16 2 inch SS Body</t>
        </is>
      </c>
      <c r="C12" s="9" t="inlineStr">
        <is>
          <t>NOS</t>
        </is>
      </c>
      <c r="D12" s="9" t="n">
        <v>11</v>
      </c>
      <c r="E12" s="11" t="n">
        <v>4569.69</v>
      </c>
      <c r="F12" s="11">
        <f>D12*E12</f>
        <v/>
      </c>
    </row>
    <row r="13">
      <c r="A13" s="6" t="n">
        <v>5</v>
      </c>
      <c r="B13" s="7" t="inlineStr">
        <is>
          <t>MS ERW Pipe 4 inch Sch 40</t>
        </is>
      </c>
      <c r="C13" s="6" t="inlineStr">
        <is>
          <t>MTR</t>
        </is>
      </c>
      <c r="D13" s="6" t="n">
        <v>483</v>
      </c>
      <c r="E13" s="8" t="n">
        <v>1269.82</v>
      </c>
      <c r="F13" s="8">
        <f>D13*E13</f>
        <v/>
      </c>
    </row>
    <row r="14">
      <c r="A14" s="9" t="n">
        <v>6</v>
      </c>
      <c r="B14" s="10" t="inlineStr">
        <is>
          <t>Pipe Fittings SS 2 inch (Lot)</t>
        </is>
      </c>
      <c r="C14" s="9" t="inlineStr">
        <is>
          <t>LOT</t>
        </is>
      </c>
      <c r="D14" s="9" t="n">
        <v>1</v>
      </c>
      <c r="E14" s="11" t="n">
        <v>18343.86</v>
      </c>
      <c r="F14" s="11">
        <f>D14*E14</f>
        <v/>
      </c>
    </row>
    <row r="15">
      <c r="A15" s="6" t="n">
        <v>7</v>
      </c>
      <c r="B15" s="7" t="inlineStr">
        <is>
          <t>Gasket Spiral Wound 2 inch 316SS</t>
        </is>
      </c>
      <c r="C15" s="6" t="inlineStr">
        <is>
          <t>NOS</t>
        </is>
      </c>
      <c r="D15" s="6" t="n">
        <v>37</v>
      </c>
      <c r="E15" s="8" t="n">
        <v>651.5599999999999</v>
      </c>
      <c r="F15" s="8">
        <f>D15*E15</f>
        <v/>
      </c>
    </row>
    <row r="17">
      <c r="E17" s="12" t="inlineStr">
        <is>
          <t>Sub-Total</t>
        </is>
      </c>
      <c r="F17" s="13">
        <f>SUM(F9:F15)</f>
        <v/>
      </c>
    </row>
    <row r="18">
      <c r="E18" s="14" t="inlineStr">
        <is>
          <t>GST @ 18%</t>
        </is>
      </c>
      <c r="F18" s="15">
        <f>F17*0.18</f>
        <v/>
      </c>
    </row>
    <row r="19">
      <c r="E19" s="16" t="inlineStr">
        <is>
          <t>GRAND TOTAL</t>
        </is>
      </c>
      <c r="F19" s="17">
        <f>F17+F18</f>
        <v/>
      </c>
    </row>
    <row r="21">
      <c r="A21" s="3" t="inlineStr">
        <is>
          <t>Payment Terms:</t>
        </is>
      </c>
      <c r="C21" s="2" t="inlineStr">
        <is>
          <t>30% advance, 70% against delivery</t>
        </is>
      </c>
    </row>
    <row r="22">
      <c r="A22" s="3" t="inlineStr">
        <is>
          <t>Delivery:</t>
        </is>
      </c>
      <c r="C22" s="2" t="inlineStr">
        <is>
          <t>22 days from PO date</t>
        </is>
      </c>
    </row>
    <row r="23">
      <c r="A23" s="3" t="inlineStr">
        <is>
          <t>Validity:</t>
        </is>
      </c>
      <c r="C23" s="2" t="inlineStr">
        <is>
          <t>45 days</t>
        </is>
      </c>
    </row>
    <row r="24">
      <c r="A24" s="3" t="inlineStr">
        <is>
          <t>Warranty:</t>
        </is>
      </c>
      <c r="C24" s="2" t="inlineStr">
        <is>
          <t>12 months from commissioning</t>
        </is>
      </c>
    </row>
    <row r="25">
      <c r="A25" s="3" t="inlineStr">
        <is>
          <t>Freight:</t>
        </is>
      </c>
      <c r="C25" s="2" t="inlineStr">
        <is>
          <t>Inclusive</t>
        </is>
      </c>
    </row>
  </sheetData>
  <mergeCells count="15">
    <mergeCell ref="C22:F22"/>
    <mergeCell ref="A21:B21"/>
    <mergeCell ref="A24:B24"/>
    <mergeCell ref="C23:F23"/>
    <mergeCell ref="A25:B25"/>
    <mergeCell ref="A4:D4"/>
    <mergeCell ref="A1:F1"/>
    <mergeCell ref="A3:D3"/>
    <mergeCell ref="C21:F21"/>
    <mergeCell ref="A6:F6"/>
    <mergeCell ref="A2:D2"/>
    <mergeCell ref="A23:B23"/>
    <mergeCell ref="C24:F24"/>
    <mergeCell ref="C25:F25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2026-06-25T08:06:31Z</dcterms:created>
  <dcterms:modified xsi:type="dcterms:W3CDTF">2026-06-25T08:06:31Z</dcterms:modified>
</cp:coreProperties>
</file>