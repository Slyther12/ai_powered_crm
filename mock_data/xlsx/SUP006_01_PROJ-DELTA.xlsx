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A3A5C"/>
      <sz val="13"/>
    </font>
    <font>
      <name val="Arial"/>
      <sz val="9"/>
    </font>
    <font>
      <name val="Arial"/>
      <b val="1"/>
      <sz val="9"/>
    </font>
    <font>
      <name val="Arial"/>
      <b val="1"/>
      <color rgb="00FFFFFF"/>
      <sz val="10"/>
    </font>
    <font>
      <name val="Arial"/>
      <b val="1"/>
      <color rgb="001A3A5C"/>
      <sz val="10"/>
    </font>
  </fonts>
  <fills count="7">
    <fill>
      <patternFill/>
    </fill>
    <fill>
      <patternFill patternType="gray125"/>
    </fill>
    <fill>
      <patternFill patternType="solid">
        <fgColor rgb="00EDF2FA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F0F4F8"/>
      </patternFill>
    </fill>
    <fill>
      <patternFill patternType="solid">
        <fgColor rgb="00DDE8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4" fontId="2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4" fontId="2" fillId="5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4" fontId="2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4" fontId="5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0" customWidth="1" min="3" max="3"/>
    <col width="10" customWidth="1" min="4" max="4"/>
    <col width="18" customWidth="1" min="5" max="5"/>
    <col width="18" customWidth="1" min="6" max="6"/>
  </cols>
  <sheetData>
    <row r="1">
      <c r="A1" s="1" t="inlineStr">
        <is>
          <t>Reliable Rubber &amp; Seals Mfg.</t>
        </is>
      </c>
    </row>
    <row r="2">
      <c r="A2" s="2" t="inlineStr">
        <is>
          <t>NH-47, Edappally, Kochi 682024</t>
        </is>
      </c>
      <c r="E2" s="3" t="inlineStr">
        <is>
          <t>Quotation No:</t>
        </is>
      </c>
      <c r="F2" s="2" t="inlineStr">
        <is>
          <t>SUP006-PROJ-DELTA-Q001</t>
        </is>
      </c>
    </row>
    <row r="3">
      <c r="A3" s="2" t="inlineStr">
        <is>
          <t>GST: 32AABCR7890E5Z7   Tel: +91-484-2233-4455</t>
        </is>
      </c>
      <c r="E3" s="3" t="inlineStr">
        <is>
          <t>Date:</t>
        </is>
      </c>
      <c r="F3" s="2" t="inlineStr">
        <is>
          <t>07-Aug-2024</t>
        </is>
      </c>
    </row>
    <row r="4">
      <c r="A4" s="2" t="inlineStr">
        <is>
          <t>Email: deepa@reliablerubber.in</t>
        </is>
      </c>
      <c r="E4" s="3" t="inlineStr">
        <is>
          <t>Valid Until:</t>
        </is>
      </c>
      <c r="F4" s="2" t="inlineStr">
        <is>
          <t>28-Aug-2024</t>
        </is>
      </c>
    </row>
    <row r="6">
      <c r="A6" s="4" t="inlineStr">
        <is>
          <t>Project: Project Delta  (PROJ-DELTA)  —  Gearbox and rotating equipment maintenance</t>
        </is>
      </c>
    </row>
    <row r="8" ht="28" customHeight="1">
      <c r="A8" s="5" t="inlineStr">
        <is>
          <t>#</t>
        </is>
      </c>
      <c r="B8" s="5" t="inlineStr">
        <is>
          <t>Description</t>
        </is>
      </c>
      <c r="C8" s="5" t="inlineStr">
        <is>
          <t>Unit</t>
        </is>
      </c>
      <c r="D8" s="5" t="inlineStr">
        <is>
          <t>Qty</t>
        </is>
      </c>
      <c r="E8" s="5" t="inlineStr">
        <is>
          <t>Unit Price (INR)</t>
        </is>
      </c>
      <c r="F8" s="5" t="inlineStr">
        <is>
          <t>Amount (INR)</t>
        </is>
      </c>
    </row>
    <row r="9">
      <c r="A9" s="6" t="n">
        <v>1</v>
      </c>
      <c r="B9" s="7" t="inlineStr">
        <is>
          <t>Gearbox Oil SAE 220 GL-4 200L</t>
        </is>
      </c>
      <c r="C9" s="6" t="inlineStr">
        <is>
          <t>DRUM</t>
        </is>
      </c>
      <c r="D9" s="6" t="n">
        <v>3</v>
      </c>
      <c r="E9" s="8" t="n">
        <v>19563.86</v>
      </c>
      <c r="F9" s="8">
        <f>D9*E9</f>
        <v/>
      </c>
    </row>
    <row r="10">
      <c r="A10" s="9" t="n">
        <v>2</v>
      </c>
      <c r="B10" s="10" t="inlineStr">
        <is>
          <t>Coupling Fluid 90mm Bore</t>
        </is>
      </c>
      <c r="C10" s="9" t="inlineStr">
        <is>
          <t>NOS</t>
        </is>
      </c>
      <c r="D10" s="9" t="n">
        <v>26</v>
      </c>
      <c r="E10" s="11" t="n">
        <v>14176.63</v>
      </c>
      <c r="F10" s="11">
        <f>D10*E10</f>
        <v/>
      </c>
    </row>
    <row r="11">
      <c r="A11" s="6" t="n">
        <v>3</v>
      </c>
      <c r="B11" s="7" t="inlineStr">
        <is>
          <t>V-Belt A Section Set</t>
        </is>
      </c>
      <c r="C11" s="6" t="inlineStr">
        <is>
          <t>SET</t>
        </is>
      </c>
      <c r="D11" s="6" t="n">
        <v>1</v>
      </c>
      <c r="E11" s="8" t="n">
        <v>1190.23</v>
      </c>
      <c r="F11" s="8">
        <f>D11*E11</f>
        <v/>
      </c>
    </row>
    <row r="12">
      <c r="A12" s="9" t="n">
        <v>4</v>
      </c>
      <c r="B12" s="10" t="inlineStr">
        <is>
          <t>SKF Bearing 22222 E Spherical</t>
        </is>
      </c>
      <c r="C12" s="9" t="inlineStr">
        <is>
          <t>NOS</t>
        </is>
      </c>
      <c r="D12" s="9" t="n">
        <v>7</v>
      </c>
      <c r="E12" s="11" t="n">
        <v>8533.530000000001</v>
      </c>
      <c r="F12" s="11">
        <f>D12*E12</f>
        <v/>
      </c>
    </row>
    <row r="13">
      <c r="A13" s="6" t="n">
        <v>5</v>
      </c>
      <c r="B13" s="7" t="inlineStr">
        <is>
          <t>Vibration Analysis Service</t>
        </is>
      </c>
      <c r="C13" s="6" t="inlineStr">
        <is>
          <t>NOS</t>
        </is>
      </c>
      <c r="D13" s="6" t="n">
        <v>6</v>
      </c>
      <c r="E13" s="8" t="n">
        <v>8449.049999999999</v>
      </c>
      <c r="F13" s="8">
        <f>D13*E13</f>
        <v/>
      </c>
    </row>
    <row r="14">
      <c r="A14" s="9" t="n">
        <v>6</v>
      </c>
      <c r="B14" s="10" t="inlineStr">
        <is>
          <t>Overhaul Labour (Rotating Equip)</t>
        </is>
      </c>
      <c r="C14" s="9" t="inlineStr">
        <is>
          <t>MH</t>
        </is>
      </c>
      <c r="D14" s="9" t="n">
        <v>198</v>
      </c>
      <c r="E14" s="11" t="n">
        <v>662.8</v>
      </c>
      <c r="F14" s="11">
        <f>D14*E14</f>
        <v/>
      </c>
    </row>
    <row r="15">
      <c r="A15" s="6" t="n">
        <v>7</v>
      </c>
      <c r="B15" s="7" t="inlineStr">
        <is>
          <t>Shaft Seal Ring 60x80x10</t>
        </is>
      </c>
      <c r="C15" s="6" t="inlineStr">
        <is>
          <t>NOS</t>
        </is>
      </c>
      <c r="D15" s="6" t="n">
        <v>31</v>
      </c>
      <c r="E15" s="8" t="n">
        <v>342.61</v>
      </c>
      <c r="F15" s="8">
        <f>D15*E15</f>
        <v/>
      </c>
    </row>
    <row r="16">
      <c r="A16" s="9" t="n">
        <v>8</v>
      </c>
      <c r="B16" s="10" t="inlineStr">
        <is>
          <t>Alignment Laser Shaft Service</t>
        </is>
      </c>
      <c r="C16" s="9" t="inlineStr">
        <is>
          <t>NOS</t>
        </is>
      </c>
      <c r="D16" s="9" t="n">
        <v>22</v>
      </c>
      <c r="E16" s="11" t="n">
        <v>11657.52</v>
      </c>
      <c r="F16" s="11">
        <f>D16*E16</f>
        <v/>
      </c>
    </row>
    <row r="18">
      <c r="E18" s="12" t="inlineStr">
        <is>
          <t>Sub-Total</t>
        </is>
      </c>
      <c r="F18" s="13">
        <f>SUM(F9:F16)</f>
        <v/>
      </c>
    </row>
    <row r="19">
      <c r="E19" s="14" t="inlineStr">
        <is>
          <t>GST @ 18%</t>
        </is>
      </c>
      <c r="F19" s="15">
        <f>F18*0.18</f>
        <v/>
      </c>
    </row>
    <row r="20">
      <c r="E20" s="16" t="inlineStr">
        <is>
          <t>GRAND TOTAL</t>
        </is>
      </c>
      <c r="F20" s="17">
        <f>F18+F19</f>
        <v/>
      </c>
    </row>
    <row r="22">
      <c r="A22" s="3" t="inlineStr">
        <is>
          <t>Payment Terms:</t>
        </is>
      </c>
      <c r="C22" s="2" t="inlineStr">
        <is>
          <t>Net 45 days from invoice date</t>
        </is>
      </c>
    </row>
    <row r="23">
      <c r="A23" s="3" t="inlineStr">
        <is>
          <t>Delivery:</t>
        </is>
      </c>
      <c r="C23" s="2" t="inlineStr">
        <is>
          <t>26 days from PO date</t>
        </is>
      </c>
    </row>
    <row r="24">
      <c r="A24" s="3" t="inlineStr">
        <is>
          <t>Validity:</t>
        </is>
      </c>
      <c r="C24" s="2" t="inlineStr">
        <is>
          <t>21 days</t>
        </is>
      </c>
    </row>
    <row r="25">
      <c r="A25" s="3" t="inlineStr">
        <is>
          <t>Warranty:</t>
        </is>
      </c>
      <c r="C25" s="2" t="inlineStr">
        <is>
          <t>12 months from commissioning</t>
        </is>
      </c>
    </row>
    <row r="26">
      <c r="A26" s="3" t="inlineStr">
        <is>
          <t>Freight:</t>
        </is>
      </c>
      <c r="C26" s="2" t="inlineStr">
        <is>
          <t>Inclusive</t>
        </is>
      </c>
    </row>
  </sheetData>
  <mergeCells count="15">
    <mergeCell ref="C22:F22"/>
    <mergeCell ref="A26:B26"/>
    <mergeCell ref="A24:B24"/>
    <mergeCell ref="C23:F23"/>
    <mergeCell ref="A25:B25"/>
    <mergeCell ref="A4:D4"/>
    <mergeCell ref="A1:F1"/>
    <mergeCell ref="A3:D3"/>
    <mergeCell ref="C26:F26"/>
    <mergeCell ref="A6:F6"/>
    <mergeCell ref="A2:D2"/>
    <mergeCell ref="A23:B23"/>
    <mergeCell ref="C24:F24"/>
    <mergeCell ref="C25:F25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2026-06-25T08:06:32Z</dcterms:created>
  <dcterms:modified xsi:type="dcterms:W3CDTF">2026-06-25T08:06:32Z</dcterms:modified>
</cp:coreProperties>
</file>