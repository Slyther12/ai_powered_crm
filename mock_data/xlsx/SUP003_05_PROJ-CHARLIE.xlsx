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Global Polymer Solutions Ltd</t>
        </is>
      </c>
    </row>
    <row r="2">
      <c r="A2" s="2" t="inlineStr">
        <is>
          <t>3rd Floor, Olympia Tech Park, Chennai 600032</t>
        </is>
      </c>
      <c r="E2" s="3" t="inlineStr">
        <is>
          <t>Quotation No:</t>
        </is>
      </c>
      <c r="F2" s="2" t="inlineStr">
        <is>
          <t>SUP003-PROJ-CHARLIE-Q005</t>
        </is>
      </c>
    </row>
    <row r="3">
      <c r="A3" s="2" t="inlineStr">
        <is>
          <t>GST: 33AABCG9012C3Z1   Tel: +91-44-6677-8899</t>
        </is>
      </c>
      <c r="E3" s="3" t="inlineStr">
        <is>
          <t>Date:</t>
        </is>
      </c>
      <c r="F3" s="2" t="inlineStr">
        <is>
          <t>25-Sep-2024</t>
        </is>
      </c>
    </row>
    <row r="4">
      <c r="A4" s="2" t="inlineStr">
        <is>
          <t>Email: snair@globalpolymers.com</t>
        </is>
      </c>
      <c r="E4" s="3" t="inlineStr">
        <is>
          <t>Valid Until:</t>
        </is>
      </c>
      <c r="F4" s="2" t="inlineStr">
        <is>
          <t>25-Oct-2024</t>
        </is>
      </c>
    </row>
    <row r="6">
      <c r="A6" s="4" t="inlineStr">
        <is>
          <t>Project: Project Charlie  (PROJ-CHARLIE)  —  Process piping and valve replacement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Pressure Gauge 0-16bar Glycerine</t>
        </is>
      </c>
      <c r="C9" s="6" t="inlineStr">
        <is>
          <t>NOS</t>
        </is>
      </c>
      <c r="D9" s="6" t="n">
        <v>18</v>
      </c>
      <c r="E9" s="8" t="n">
        <v>831.89</v>
      </c>
      <c r="F9" s="8">
        <f>D9*E9</f>
        <v/>
      </c>
    </row>
    <row r="10">
      <c r="A10" s="9" t="n">
        <v>2</v>
      </c>
      <c r="B10" s="10" t="inlineStr">
        <is>
          <t>Gasket Spiral Wound 2 inch 316SS</t>
        </is>
      </c>
      <c r="C10" s="9" t="inlineStr">
        <is>
          <t>NOS</t>
        </is>
      </c>
      <c r="D10" s="9" t="n">
        <v>10</v>
      </c>
      <c r="E10" s="11" t="n">
        <v>650.15</v>
      </c>
      <c r="F10" s="11">
        <f>D10*E10</f>
        <v/>
      </c>
    </row>
    <row r="11">
      <c r="A11" s="6" t="n">
        <v>3</v>
      </c>
      <c r="B11" s="7" t="inlineStr">
        <is>
          <t>Pipe Fittings SS 2 inch (Lot)</t>
        </is>
      </c>
      <c r="C11" s="6" t="inlineStr">
        <is>
          <t>LOT</t>
        </is>
      </c>
      <c r="D11" s="6" t="n">
        <v>1</v>
      </c>
      <c r="E11" s="8" t="n">
        <v>18523.91</v>
      </c>
      <c r="F11" s="8">
        <f>D11*E11</f>
        <v/>
      </c>
    </row>
    <row r="12">
      <c r="A12" s="9" t="n">
        <v>4</v>
      </c>
      <c r="B12" s="10" t="inlineStr">
        <is>
          <t>Ball Valve 3-Piece 1 inch SS316</t>
        </is>
      </c>
      <c r="C12" s="9" t="inlineStr">
        <is>
          <t>NOS</t>
        </is>
      </c>
      <c r="D12" s="9" t="n">
        <v>24</v>
      </c>
      <c r="E12" s="11" t="n">
        <v>2961.59</v>
      </c>
      <c r="F12" s="11">
        <f>D12*E12</f>
        <v/>
      </c>
    </row>
    <row r="13">
      <c r="A13" s="6" t="n">
        <v>5</v>
      </c>
      <c r="B13" s="7" t="inlineStr">
        <is>
          <t>Insulation 50mm Rock Wool Pipe</t>
        </is>
      </c>
      <c r="C13" s="6" t="inlineStr">
        <is>
          <t>MTR</t>
        </is>
      </c>
      <c r="D13" s="6" t="n">
        <v>364</v>
      </c>
      <c r="E13" s="8" t="n">
        <v>400.12</v>
      </c>
      <c r="F13" s="8">
        <f>D13*E13</f>
        <v/>
      </c>
    </row>
    <row r="14">
      <c r="A14" s="9" t="n">
        <v>6</v>
      </c>
      <c r="B14" s="10" t="inlineStr">
        <is>
          <t>SS 316L Pipe 2 inch Sch 40</t>
        </is>
      </c>
      <c r="C14" s="9" t="inlineStr">
        <is>
          <t>MTR</t>
        </is>
      </c>
      <c r="D14" s="9" t="n">
        <v>142</v>
      </c>
      <c r="E14" s="11" t="n">
        <v>2904.02</v>
      </c>
      <c r="F14" s="11">
        <f>D14*E14</f>
        <v/>
      </c>
    </row>
    <row r="15">
      <c r="A15" s="6" t="n">
        <v>7</v>
      </c>
      <c r="B15" s="7" t="inlineStr">
        <is>
          <t>Gate Valve PN16 2 inch SS Body</t>
        </is>
      </c>
      <c r="C15" s="6" t="inlineStr">
        <is>
          <t>NOS</t>
        </is>
      </c>
      <c r="D15" s="6" t="n">
        <v>31</v>
      </c>
      <c r="E15" s="8" t="n">
        <v>4722.75</v>
      </c>
      <c r="F15" s="8">
        <f>D15*E15</f>
        <v/>
      </c>
    </row>
    <row r="17">
      <c r="E17" s="12" t="inlineStr">
        <is>
          <t>Sub-Total</t>
        </is>
      </c>
      <c r="F17" s="13">
        <f>SUM(F9:F15)</f>
        <v/>
      </c>
    </row>
    <row r="18">
      <c r="E18" s="14" t="inlineStr">
        <is>
          <t>GST @ 18%</t>
        </is>
      </c>
      <c r="F18" s="15">
        <f>F17*0.18</f>
        <v/>
      </c>
    </row>
    <row r="19">
      <c r="E19" s="16" t="inlineStr">
        <is>
          <t>GRAND TOTAL</t>
        </is>
      </c>
      <c r="F19" s="17">
        <f>F17+F18</f>
        <v/>
      </c>
    </row>
    <row r="21">
      <c r="A21" s="3" t="inlineStr">
        <is>
          <t>Payment Terms:</t>
        </is>
      </c>
      <c r="C21" s="2" t="inlineStr">
        <is>
          <t>50% advance, 50% on completion</t>
        </is>
      </c>
    </row>
    <row r="22">
      <c r="A22" s="3" t="inlineStr">
        <is>
          <t>Delivery:</t>
        </is>
      </c>
      <c r="C22" s="2" t="inlineStr">
        <is>
          <t>29 days from PO date</t>
        </is>
      </c>
    </row>
    <row r="23">
      <c r="A23" s="3" t="inlineStr">
        <is>
          <t>Validity:</t>
        </is>
      </c>
      <c r="C23" s="2" t="inlineStr">
        <is>
          <t>30 days</t>
        </is>
      </c>
    </row>
    <row r="24">
      <c r="A24" s="3" t="inlineStr">
        <is>
          <t>Warranty:</t>
        </is>
      </c>
      <c r="C24" s="2" t="inlineStr">
        <is>
          <t>12 months from commissioning</t>
        </is>
      </c>
    </row>
    <row r="25">
      <c r="A25" s="3" t="inlineStr">
        <is>
          <t>Freight:</t>
        </is>
      </c>
      <c r="C25" s="2" t="inlineStr">
        <is>
          <t>Inclusive</t>
        </is>
      </c>
    </row>
  </sheetData>
  <mergeCells count="15">
    <mergeCell ref="C22:F22"/>
    <mergeCell ref="A21:B21"/>
    <mergeCell ref="A24:B24"/>
    <mergeCell ref="C23:F23"/>
    <mergeCell ref="A25:B25"/>
    <mergeCell ref="A4:D4"/>
    <mergeCell ref="A1:F1"/>
    <mergeCell ref="A3:D3"/>
    <mergeCell ref="C21:F21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