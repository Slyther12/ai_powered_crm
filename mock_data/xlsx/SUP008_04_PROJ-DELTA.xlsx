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EDF2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D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PrimeCast Foundry &amp; Forge</t>
        </is>
      </c>
    </row>
    <row r="2">
      <c r="A2" s="2" t="inlineStr">
        <is>
          <t>IDA Uppal, Hyderabad 500039</t>
        </is>
      </c>
      <c r="E2" s="3" t="inlineStr">
        <is>
          <t>Quotation No:</t>
        </is>
      </c>
      <c r="F2" s="2" t="inlineStr">
        <is>
          <t>SUP008-PROJ-DELTA-Q004</t>
        </is>
      </c>
    </row>
    <row r="3">
      <c r="A3" s="2" t="inlineStr">
        <is>
          <t>GST: 36AABCP2345G7Z8   Tel: +91-40-2244-6688</t>
        </is>
      </c>
      <c r="E3" s="3" t="inlineStr">
        <is>
          <t>Date:</t>
        </is>
      </c>
      <c r="F3" s="2" t="inlineStr">
        <is>
          <t>09-Sep-2024</t>
        </is>
      </c>
    </row>
    <row r="4">
      <c r="A4" s="2" t="inlineStr">
        <is>
          <t>Email: ganesh.r@primecast.in</t>
        </is>
      </c>
      <c r="E4" s="3" t="inlineStr">
        <is>
          <t>Valid Until:</t>
        </is>
      </c>
      <c r="F4" s="2" t="inlineStr">
        <is>
          <t>09-Oct-2024</t>
        </is>
      </c>
    </row>
    <row r="6">
      <c r="A6" s="4" t="inlineStr">
        <is>
          <t>Project: Project Delta  (PROJ-DELTA)  —  Gearbox and rotating equipment maintenance</t>
        </is>
      </c>
    </row>
    <row r="8" ht="28" customHeight="1">
      <c r="A8" s="5" t="inlineStr">
        <is>
          <t>#</t>
        </is>
      </c>
      <c r="B8" s="5" t="inlineStr">
        <is>
          <t>Description</t>
        </is>
      </c>
      <c r="C8" s="5" t="inlineStr">
        <is>
          <t>Unit</t>
        </is>
      </c>
      <c r="D8" s="5" t="inlineStr">
        <is>
          <t>Qty</t>
        </is>
      </c>
      <c r="E8" s="5" t="inlineStr">
        <is>
          <t>Unit Price (INR)</t>
        </is>
      </c>
      <c r="F8" s="5" t="inlineStr">
        <is>
          <t>Amount (INR)</t>
        </is>
      </c>
    </row>
    <row r="9">
      <c r="A9" s="6" t="n">
        <v>1</v>
      </c>
      <c r="B9" s="7" t="inlineStr">
        <is>
          <t>SKF Bearing 6205-2RS Deep Groove</t>
        </is>
      </c>
      <c r="C9" s="6" t="inlineStr">
        <is>
          <t>NOS</t>
        </is>
      </c>
      <c r="D9" s="6" t="n">
        <v>23</v>
      </c>
      <c r="E9" s="8" t="n">
        <v>424.4</v>
      </c>
      <c r="F9" s="8">
        <f>D9*E9</f>
        <v/>
      </c>
    </row>
    <row r="10">
      <c r="A10" s="9" t="n">
        <v>2</v>
      </c>
      <c r="B10" s="10" t="inlineStr">
        <is>
          <t>Coupling Fluid 90mm Bore</t>
        </is>
      </c>
      <c r="C10" s="9" t="inlineStr">
        <is>
          <t>NOS</t>
        </is>
      </c>
      <c r="D10" s="9" t="n">
        <v>11</v>
      </c>
      <c r="E10" s="11" t="n">
        <v>12894.3</v>
      </c>
      <c r="F10" s="11">
        <f>D10*E10</f>
        <v/>
      </c>
    </row>
    <row r="11">
      <c r="A11" s="6" t="n">
        <v>3</v>
      </c>
      <c r="B11" s="7" t="inlineStr">
        <is>
          <t>Alignment Laser Shaft Service</t>
        </is>
      </c>
      <c r="C11" s="6" t="inlineStr">
        <is>
          <t>NOS</t>
        </is>
      </c>
      <c r="D11" s="6" t="n">
        <v>10</v>
      </c>
      <c r="E11" s="8" t="n">
        <v>11373.74</v>
      </c>
      <c r="F11" s="8">
        <f>D11*E11</f>
        <v/>
      </c>
    </row>
    <row r="12">
      <c r="A12" s="9" t="n">
        <v>4</v>
      </c>
      <c r="B12" s="10" t="inlineStr">
        <is>
          <t>Vibration Analysis Service</t>
        </is>
      </c>
      <c r="C12" s="9" t="inlineStr">
        <is>
          <t>NOS</t>
        </is>
      </c>
      <c r="D12" s="9" t="n">
        <v>24</v>
      </c>
      <c r="E12" s="11" t="n">
        <v>7139.52</v>
      </c>
      <c r="F12" s="11">
        <f>D12*E12</f>
        <v/>
      </c>
    </row>
    <row r="14">
      <c r="E14" s="12" t="inlineStr">
        <is>
          <t>Sub-Total</t>
        </is>
      </c>
      <c r="F14" s="13">
        <f>SUM(F9:F12)</f>
        <v/>
      </c>
    </row>
    <row r="15">
      <c r="E15" s="14" t="inlineStr">
        <is>
          <t>GST @ 18%</t>
        </is>
      </c>
      <c r="F15" s="15">
        <f>F14*0.18</f>
        <v/>
      </c>
    </row>
    <row r="16">
      <c r="E16" s="16" t="inlineStr">
        <is>
          <t>GRAND TOTAL</t>
        </is>
      </c>
      <c r="F16" s="17">
        <f>F14+F15</f>
        <v/>
      </c>
    </row>
    <row r="18">
      <c r="A18" s="3" t="inlineStr">
        <is>
          <t>Payment Terms:</t>
        </is>
      </c>
      <c r="C18" s="2" t="inlineStr">
        <is>
          <t>30% advance, 70% against delivery</t>
        </is>
      </c>
    </row>
    <row r="19">
      <c r="A19" s="3" t="inlineStr">
        <is>
          <t>Delivery:</t>
        </is>
      </c>
      <c r="C19" s="2" t="inlineStr">
        <is>
          <t>30 days from PO date</t>
        </is>
      </c>
    </row>
    <row r="20">
      <c r="A20" s="3" t="inlineStr">
        <is>
          <t>Validity:</t>
        </is>
      </c>
      <c r="C20" s="2" t="inlineStr">
        <is>
          <t>30 days</t>
        </is>
      </c>
    </row>
    <row r="21">
      <c r="A21" s="3" t="inlineStr">
        <is>
          <t>Warranty:</t>
        </is>
      </c>
      <c r="C21" s="2" t="inlineStr">
        <is>
          <t>12 months from commissioning</t>
        </is>
      </c>
    </row>
    <row r="22">
      <c r="A22" s="3" t="inlineStr">
        <is>
          <t>Freight:</t>
        </is>
      </c>
      <c r="C22" s="2" t="inlineStr">
        <is>
          <t>Inclusive</t>
        </is>
      </c>
    </row>
  </sheetData>
  <mergeCells count="15">
    <mergeCell ref="C22:F22"/>
    <mergeCell ref="C18:F18"/>
    <mergeCell ref="A20:B20"/>
    <mergeCell ref="A21:B21"/>
    <mergeCell ref="A4:D4"/>
    <mergeCell ref="A1:F1"/>
    <mergeCell ref="A3:D3"/>
    <mergeCell ref="A19:B19"/>
    <mergeCell ref="C20:F20"/>
    <mergeCell ref="C21:F21"/>
    <mergeCell ref="A6:F6"/>
    <mergeCell ref="A2:D2"/>
    <mergeCell ref="A18:B18"/>
    <mergeCell ref="C19:F19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2026-06-25T08:06:32Z</dcterms:created>
  <dcterms:modified xsi:type="dcterms:W3CDTF">2026-06-25T08:06:32Z</dcterms:modified>
</cp:coreProperties>
</file>