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A5C"/>
      <sz val="13"/>
    </font>
    <font>
      <name val="Arial"/>
      <sz val="9"/>
    </font>
    <font>
      <name val="Arial"/>
      <b val="1"/>
      <sz val="9"/>
    </font>
    <font>
      <name val="Arial"/>
      <b val="1"/>
      <color rgb="00FFFFFF"/>
      <sz val="10"/>
    </font>
    <font>
      <name val="Arial"/>
      <b val="1"/>
      <color rgb="001A3A5C"/>
      <sz val="10"/>
    </font>
  </fonts>
  <fills count="7">
    <fill>
      <patternFill/>
    </fill>
    <fill>
      <patternFill patternType="gray125"/>
    </fill>
    <fill>
      <patternFill patternType="solid">
        <fgColor rgb="00EDF2FA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DDE8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4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4" fontId="2" fillId="5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4" fontId="2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4" fontId="5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18" customWidth="1" min="5" max="5"/>
    <col width="18" customWidth="1" min="6" max="6"/>
  </cols>
  <sheetData>
    <row r="1">
      <c r="A1" s="1" t="inlineStr">
        <is>
          <t>TechnoFab Engineering Works</t>
        </is>
      </c>
    </row>
    <row r="2">
      <c r="A2" s="2" t="inlineStr">
        <is>
          <t>Survey No. 88, Sarkhej-Gandhinagar Hwy, Ahmedabad 380054</t>
        </is>
      </c>
      <c r="E2" s="3" t="inlineStr">
        <is>
          <t>Quotation No:</t>
        </is>
      </c>
      <c r="F2" s="2" t="inlineStr">
        <is>
          <t>SUP004-PROJ-BRAVO-Q003</t>
        </is>
      </c>
    </row>
    <row r="3">
      <c r="A3" s="2" t="inlineStr">
        <is>
          <t>GST: 24AABCT3456D4Z9   Tel: +91-79-3344-5566</t>
        </is>
      </c>
      <c r="E3" s="3" t="inlineStr">
        <is>
          <t>Date:</t>
        </is>
      </c>
      <c r="F3" s="2" t="inlineStr">
        <is>
          <t>03-Sep-2024</t>
        </is>
      </c>
    </row>
    <row r="4">
      <c r="A4" s="2" t="inlineStr">
        <is>
          <t>Email: amit@technofab.co.in</t>
        </is>
      </c>
      <c r="E4" s="3" t="inlineStr">
        <is>
          <t>Valid Until:</t>
        </is>
      </c>
      <c r="F4" s="2" t="inlineStr">
        <is>
          <t>10-Sep-2024</t>
        </is>
      </c>
    </row>
    <row r="6">
      <c r="A6" s="4" t="inlineStr">
        <is>
          <t>Project: Project Bravo  (PROJ-BRAVO)  —  LT panel installation and cable laying</t>
        </is>
      </c>
    </row>
    <row r="8" ht="28" customHeight="1">
      <c r="A8" s="5" t="inlineStr">
        <is>
          <t>#</t>
        </is>
      </c>
      <c r="B8" s="5" t="inlineStr">
        <is>
          <t>Description</t>
        </is>
      </c>
      <c r="C8" s="5" t="inlineStr">
        <is>
          <t>Unit</t>
        </is>
      </c>
      <c r="D8" s="5" t="inlineStr">
        <is>
          <t>Qty</t>
        </is>
      </c>
      <c r="E8" s="5" t="inlineStr">
        <is>
          <t>Unit Price (INR)</t>
        </is>
      </c>
      <c r="F8" s="5" t="inlineStr">
        <is>
          <t>Amount (INR)</t>
        </is>
      </c>
    </row>
    <row r="9">
      <c r="A9" s="6" t="n">
        <v>1</v>
      </c>
      <c r="B9" s="7" t="inlineStr">
        <is>
          <t>LT Panel 415V 630A ACB Incomer</t>
        </is>
      </c>
      <c r="C9" s="6" t="inlineStr">
        <is>
          <t>NOS</t>
        </is>
      </c>
      <c r="D9" s="6" t="n">
        <v>11</v>
      </c>
      <c r="E9" s="8" t="n">
        <v>251259.86</v>
      </c>
      <c r="F9" s="8">
        <f>D9*E9</f>
        <v/>
      </c>
    </row>
    <row r="10">
      <c r="A10" s="9" t="n">
        <v>2</v>
      </c>
      <c r="B10" s="10" t="inlineStr">
        <is>
          <t>Cable Tray Perforated 300x50mm</t>
        </is>
      </c>
      <c r="C10" s="9" t="inlineStr">
        <is>
          <t>MTR</t>
        </is>
      </c>
      <c r="D10" s="9" t="n">
        <v>90</v>
      </c>
      <c r="E10" s="11" t="n">
        <v>661.9299999999999</v>
      </c>
      <c r="F10" s="11">
        <f>D10*E10</f>
        <v/>
      </c>
    </row>
    <row r="11">
      <c r="A11" s="6" t="n">
        <v>3</v>
      </c>
      <c r="B11" s="7" t="inlineStr">
        <is>
          <t>MCB 63A 4-Pole 10kA</t>
        </is>
      </c>
      <c r="C11" s="6" t="inlineStr">
        <is>
          <t>NOS</t>
        </is>
      </c>
      <c r="D11" s="6" t="n">
        <v>28</v>
      </c>
      <c r="E11" s="8" t="n">
        <v>4489.23</v>
      </c>
      <c r="F11" s="8">
        <f>D11*E11</f>
        <v/>
      </c>
    </row>
    <row r="12">
      <c r="A12" s="9" t="n">
        <v>4</v>
      </c>
      <c r="B12" s="10" t="inlineStr">
        <is>
          <t>Earth Pit GI Strip 50x6mm</t>
        </is>
      </c>
      <c r="C12" s="9" t="inlineStr">
        <is>
          <t>NOS</t>
        </is>
      </c>
      <c r="D12" s="9" t="n">
        <v>17</v>
      </c>
      <c r="E12" s="11" t="n">
        <v>8937.4</v>
      </c>
      <c r="F12" s="11">
        <f>D12*E12</f>
        <v/>
      </c>
    </row>
    <row r="13">
      <c r="A13" s="6" t="n">
        <v>5</v>
      </c>
      <c r="B13" s="7" t="inlineStr">
        <is>
          <t>Voltage Stabilizer 50KVA</t>
        </is>
      </c>
      <c r="C13" s="6" t="inlineStr">
        <is>
          <t>NOS</t>
        </is>
      </c>
      <c r="D13" s="6" t="n">
        <v>25</v>
      </c>
      <c r="E13" s="8" t="n">
        <v>132167.45</v>
      </c>
      <c r="F13" s="8">
        <f>D13*E13</f>
        <v/>
      </c>
    </row>
    <row r="15">
      <c r="E15" s="12" t="inlineStr">
        <is>
          <t>Sub-Total</t>
        </is>
      </c>
      <c r="F15" s="13">
        <f>SUM(F9:F13)</f>
        <v/>
      </c>
    </row>
    <row r="16">
      <c r="E16" s="14" t="inlineStr">
        <is>
          <t>GST @ 18%</t>
        </is>
      </c>
      <c r="F16" s="15">
        <f>F15*0.18</f>
        <v/>
      </c>
    </row>
    <row r="17">
      <c r="E17" s="16" t="inlineStr">
        <is>
          <t>GRAND TOTAL</t>
        </is>
      </c>
      <c r="F17" s="17">
        <f>F15+F16</f>
        <v/>
      </c>
    </row>
    <row r="19">
      <c r="A19" s="3" t="inlineStr">
        <is>
          <t>Payment Terms:</t>
        </is>
      </c>
      <c r="C19" s="2" t="inlineStr">
        <is>
          <t>100% against pro-forma invoice</t>
        </is>
      </c>
    </row>
    <row r="20">
      <c r="A20" s="3" t="inlineStr">
        <is>
          <t>Delivery:</t>
        </is>
      </c>
      <c r="C20" s="2" t="inlineStr">
        <is>
          <t>55 days from PO date</t>
        </is>
      </c>
    </row>
    <row r="21">
      <c r="A21" s="3" t="inlineStr">
        <is>
          <t>Validity:</t>
        </is>
      </c>
      <c r="C21" s="2" t="inlineStr">
        <is>
          <t>7 days</t>
        </is>
      </c>
    </row>
    <row r="22">
      <c r="A22" s="3" t="inlineStr">
        <is>
          <t>Warranty:</t>
        </is>
      </c>
      <c r="C22" s="2" t="inlineStr">
        <is>
          <t>12 months from commissioning</t>
        </is>
      </c>
    </row>
    <row r="23">
      <c r="A23" s="3" t="inlineStr">
        <is>
          <t>Freight:</t>
        </is>
      </c>
      <c r="C23" s="2" t="inlineStr">
        <is>
          <t>Inclusive</t>
        </is>
      </c>
    </row>
  </sheetData>
  <mergeCells count="15">
    <mergeCell ref="C22:F22"/>
    <mergeCell ref="A20:B20"/>
    <mergeCell ref="A21:B21"/>
    <mergeCell ref="C23:F23"/>
    <mergeCell ref="A4:D4"/>
    <mergeCell ref="A1:F1"/>
    <mergeCell ref="A3:D3"/>
    <mergeCell ref="A19:B19"/>
    <mergeCell ref="C20:F20"/>
    <mergeCell ref="C21:F21"/>
    <mergeCell ref="A6:F6"/>
    <mergeCell ref="A2:D2"/>
    <mergeCell ref="A23:B23"/>
    <mergeCell ref="C19:F19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2026-06-25T08:06:31Z</dcterms:created>
  <dcterms:modified xsi:type="dcterms:W3CDTF">2026-06-25T08:06:31Z</dcterms:modified>
</cp:coreProperties>
</file>